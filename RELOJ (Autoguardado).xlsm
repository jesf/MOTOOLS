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Transbordo\"/>
    </mc:Choice>
  </mc:AlternateContent>
  <bookViews>
    <workbookView xWindow="0" yWindow="0" windowWidth="24000" windowHeight="9630"/>
  </bookViews>
  <sheets>
    <sheet name="Hoja1" sheetId="1" r:id="rId1"/>
  </sheets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8" i="1" l="1"/>
  <c r="B23" i="1"/>
  <c r="E12" i="1"/>
  <c r="E13" i="1"/>
  <c r="E14" i="1"/>
  <c r="E17" i="1"/>
  <c r="E16" i="1"/>
  <c r="E15" i="1"/>
  <c r="M12" i="1"/>
  <c r="K16" i="1"/>
  <c r="J22" i="1"/>
  <c r="K22" i="1"/>
  <c r="L20" i="1"/>
  <c r="M7" i="1" l="1"/>
  <c r="M6" i="1"/>
  <c r="M5" i="1"/>
  <c r="M4" i="1"/>
</calcChain>
</file>

<file path=xl/sharedStrings.xml><?xml version="1.0" encoding="utf-8"?>
<sst xmlns="http://schemas.openxmlformats.org/spreadsheetml/2006/main" count="24" uniqueCount="24">
  <si>
    <t>1 año</t>
  </si>
  <si>
    <t>1 seg</t>
  </si>
  <si>
    <t>1 hora</t>
  </si>
  <si>
    <t>1 dia</t>
  </si>
  <si>
    <t>1 semana</t>
  </si>
  <si>
    <t>1 mes</t>
  </si>
  <si>
    <t>DIA</t>
  </si>
  <si>
    <t>SEMANA</t>
  </si>
  <si>
    <t>MES</t>
  </si>
  <si>
    <t>AÑO</t>
  </si>
  <si>
    <t>EDAD</t>
  </si>
  <si>
    <t>PESO</t>
  </si>
  <si>
    <t>ESTATURA</t>
  </si>
  <si>
    <t>Datos iniciales</t>
  </si>
  <si>
    <t>Edad (años)</t>
  </si>
  <si>
    <t>Peso (Kg)</t>
  </si>
  <si>
    <t>Variación (meses)</t>
  </si>
  <si>
    <t>Estatura (cm)</t>
  </si>
  <si>
    <t>Tope(edad-años)</t>
  </si>
  <si>
    <t>Long. Cabello (mm)</t>
  </si>
  <si>
    <t>Aumento mensual(cm)</t>
  </si>
  <si>
    <t>Aumento mensual (mm)</t>
  </si>
  <si>
    <t>Frecuencia corte (meses)</t>
  </si>
  <si>
    <t>LONG. CABELLO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</si>
</sst>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2" formatCode="0.0000000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" xfId="0" applyBorder="1"/>
    <xf numFmtId="0" fontId="0" fillId="0" borderId="2" xfId="0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22" fontId="0" fillId="0" borderId="0" xfId="0" applyNumberFormat="1"/>
    <xf numFmtId="2" fontId="0" fillId="0" borderId="0" xfId="0" applyNumberFormat="1"/>
    <xf numFmtId="17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M23"/>
  <sheetViews>
    <sheetView tabSelected="1" workbookViewId="0">
      <selection activeCell="J7" sqref="J7"/>
    </sheetView>
  </sheetViews>
  <sheetFormatPr baseColWidth="10" defaultRowHeight="15" x14ac:dyDescent="0.25"/>
  <cols>
    <col min="2" max="2" width="24.85546875" bestFit="1" customWidth="1"/>
    <col min="3" max="3" width="5.85546875" bestFit="1" customWidth="1"/>
    <col min="4" max="4" width="5.5703125" bestFit="1" customWidth="1"/>
    <col min="5" max="5" width="10" bestFit="1" customWidth="1"/>
    <col min="6" max="6" width="14.7109375" bestFit="1" customWidth="1"/>
    <col min="7" max="7" width="15.7109375" bestFit="1" customWidth="1"/>
    <col min="8" max="8" width="23.42578125" bestFit="1" customWidth="1"/>
    <col min="10" max="10" width="18.42578125" bestFit="1" customWidth="1"/>
    <col min="11" max="11" width="12" bestFit="1" customWidth="1"/>
    <col min="13" max="13" width="15.7109375" bestFit="1" customWidth="1"/>
  </cols>
  <sheetData>
    <row r="1" spans="1:13" x14ac:dyDescent="0.25">
      <c r="A1" s="1">
        <v>0</v>
      </c>
      <c r="C1" s="1" t="s">
        <v>9</v>
      </c>
      <c r="D1" s="1" t="s">
        <v>8</v>
      </c>
      <c r="E1" s="1" t="s">
        <v>7</v>
      </c>
      <c r="F1" s="1" t="s">
        <v>6</v>
      </c>
      <c r="H1" s="8" t="s">
        <v>13</v>
      </c>
      <c r="I1" s="9"/>
    </row>
    <row r="2" spans="1:13" x14ac:dyDescent="0.25">
      <c r="C2" s="1">
        <v>1</v>
      </c>
      <c r="D2" s="1">
        <v>1</v>
      </c>
      <c r="E2" s="1">
        <v>2</v>
      </c>
      <c r="F2" s="1">
        <v>3</v>
      </c>
      <c r="H2" s="6" t="s">
        <v>14</v>
      </c>
      <c r="I2" s="7"/>
      <c r="L2" t="s">
        <v>1</v>
      </c>
      <c r="M2">
        <v>1</v>
      </c>
    </row>
    <row r="3" spans="1:13" x14ac:dyDescent="0.25">
      <c r="H3" s="2" t="s">
        <v>15</v>
      </c>
      <c r="I3" s="3"/>
      <c r="L3" t="s">
        <v>2</v>
      </c>
      <c r="M3">
        <v>3600</v>
      </c>
    </row>
    <row r="4" spans="1:13" x14ac:dyDescent="0.25">
      <c r="H4" s="4" t="s">
        <v>16</v>
      </c>
      <c r="I4" s="5"/>
      <c r="L4" t="s">
        <v>3</v>
      </c>
      <c r="M4">
        <f>M3*24</f>
        <v>86400</v>
      </c>
    </row>
    <row r="5" spans="1:13" x14ac:dyDescent="0.25">
      <c r="H5" s="6" t="s">
        <v>17</v>
      </c>
      <c r="I5" s="7"/>
      <c r="L5" t="s">
        <v>4</v>
      </c>
      <c r="M5">
        <f>M4*7</f>
        <v>604800</v>
      </c>
    </row>
    <row r="6" spans="1:13" x14ac:dyDescent="0.25">
      <c r="H6" s="2" t="s">
        <v>20</v>
      </c>
      <c r="I6" s="3"/>
      <c r="L6" t="s">
        <v>5</v>
      </c>
      <c r="M6">
        <f>M5*4</f>
        <v>2419200</v>
      </c>
    </row>
    <row r="7" spans="1:13" x14ac:dyDescent="0.25">
      <c r="H7" s="4" t="s">
        <v>18</v>
      </c>
      <c r="I7" s="5"/>
      <c r="L7" t="s">
        <v>0</v>
      </c>
      <c r="M7">
        <f>M6*12</f>
        <v>29030400</v>
      </c>
    </row>
    <row r="8" spans="1:13" x14ac:dyDescent="0.25">
      <c r="H8" s="2" t="s">
        <v>19</v>
      </c>
      <c r="I8" s="3"/>
    </row>
    <row r="9" spans="1:13" x14ac:dyDescent="0.25">
      <c r="H9" s="2" t="s">
        <v>21</v>
      </c>
      <c r="I9" s="3"/>
    </row>
    <row r="10" spans="1:13" x14ac:dyDescent="0.25">
      <c r="C10" s="1" t="s">
        <v>10</v>
      </c>
      <c r="D10" s="1" t="s">
        <v>11</v>
      </c>
      <c r="E10" s="1" t="s">
        <v>12</v>
      </c>
      <c r="F10" s="1" t="s">
        <v>23</v>
      </c>
      <c r="H10" s="4" t="s">
        <v>22</v>
      </c>
      <c r="I10" s="5"/>
    </row>
    <row r="12" spans="1:13" x14ac:dyDescent="0.25">
      <c r="E12">
        <f>SECOND(B15)</f>
        <v>16</v>
      </c>
      <c r="M12" s="11">
        <f ca="1">NOW()</f>
        <v>43029.614181365738</v>
      </c>
    </row>
    <row r="13" spans="1:13" x14ac:dyDescent="0.25">
      <c r="E13">
        <f>MINUTE(B15)</f>
        <v>37</v>
      </c>
    </row>
    <row r="14" spans="1:13" x14ac:dyDescent="0.25">
      <c r="E14">
        <f>HOUR(B15)</f>
        <v>11</v>
      </c>
    </row>
    <row r="15" spans="1:13" x14ac:dyDescent="0.25">
      <c r="B15" s="12">
        <v>43029.484211111201</v>
      </c>
      <c r="E15">
        <f>DAY(B15)</f>
        <v>21</v>
      </c>
    </row>
    <row r="16" spans="1:13" x14ac:dyDescent="0.25">
      <c r="E16">
        <f>MONTH(B15)</f>
        <v>10</v>
      </c>
      <c r="K16">
        <f ca="1">DAY(NOW())</f>
        <v>21</v>
      </c>
    </row>
    <row r="17" spans="2:12" x14ac:dyDescent="0.25">
      <c r="E17">
        <f>YEAR(B15)</f>
        <v>2017</v>
      </c>
    </row>
    <row r="18" spans="2:12" x14ac:dyDescent="0.25">
      <c r="G18" s="10">
        <f ca="1">NOW()</f>
        <v>43029.614181365738</v>
      </c>
    </row>
    <row r="20" spans="2:12" x14ac:dyDescent="0.25">
      <c r="K20">
        <v>500000</v>
      </c>
      <c r="L20">
        <f>MINUTE(0.1234)</f>
        <v>57</v>
      </c>
    </row>
    <row r="21" spans="2:12" x14ac:dyDescent="0.25">
      <c r="K21">
        <v>0.5</v>
      </c>
    </row>
    <row r="22" spans="2:12" x14ac:dyDescent="0.25">
      <c r="B22" s="12">
        <v>43029.486122569448</v>
      </c>
      <c r="J22">
        <f>YEAR(K20)</f>
        <v>3268</v>
      </c>
      <c r="K22">
        <f>HOUR(K21)</f>
        <v>12</v>
      </c>
    </row>
    <row r="23" spans="2:12" x14ac:dyDescent="0.25">
      <c r="B23" s="12">
        <f ca="1">NOW()</f>
        <v>43029.614181365738</v>
      </c>
    </row>
  </sheetData>
  <mergeCells count="1">
    <mergeCell ref="H1:I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Estudiantes</dc:creator>
  <cp:lastModifiedBy>Javier Eduardo Sepulveda Fuentes</cp:lastModifiedBy>
  <dcterms:created xsi:type="dcterms:W3CDTF">2017-10-18T21:16:52Z</dcterms:created>
  <dcterms:modified xsi:type="dcterms:W3CDTF">2017-10-21T20:15:07Z</dcterms:modified>
</cp:coreProperties>
</file>